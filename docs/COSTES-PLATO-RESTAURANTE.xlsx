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ayre/Downloads/"/>
    </mc:Choice>
  </mc:AlternateContent>
  <xr:revisionPtr revIDLastSave="0" documentId="13_ncr:1_{9A3BDD34-4029-1C4A-824C-1B48BEAE35AA}" xr6:coauthVersionLast="36" xr6:coauthVersionMax="36" xr10:uidLastSave="{00000000-0000-0000-0000-000000000000}"/>
  <bookViews>
    <workbookView xWindow="0" yWindow="460" windowWidth="28800" windowHeight="16500" xr2:uid="{04FC38A6-C2D6-EE4E-8BAB-CE498DBCE13B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" l="1"/>
  <c r="B26" i="1" l="1"/>
  <c r="F20" i="1" s="1"/>
  <c r="F25" i="1" s="1"/>
  <c r="B32" i="1" s="1"/>
  <c r="F9" i="1"/>
  <c r="F8" i="1"/>
  <c r="F7" i="1"/>
  <c r="F6" i="1"/>
  <c r="F5" i="1"/>
  <c r="F14" i="1" s="1"/>
  <c r="B31" i="1" s="1"/>
  <c r="F4" i="1"/>
  <c r="B33" i="1" l="1"/>
  <c r="F31" i="1" s="1"/>
  <c r="F33" i="1" s="1"/>
</calcChain>
</file>

<file path=xl/sharedStrings.xml><?xml version="1.0" encoding="utf-8"?>
<sst xmlns="http://schemas.openxmlformats.org/spreadsheetml/2006/main" count="54" uniqueCount="47">
  <si>
    <t>ESTRUCTURA DE COSTES RESTAURANTES</t>
  </si>
  <si>
    <t>INGREDIENTES</t>
  </si>
  <si>
    <t>GRAMOS</t>
  </si>
  <si>
    <t>P/C PRESENTACIÓN</t>
  </si>
  <si>
    <t>TOTAL</t>
  </si>
  <si>
    <t>Patatas</t>
  </si>
  <si>
    <t>Pollo</t>
  </si>
  <si>
    <t>Harina</t>
  </si>
  <si>
    <t>Aceite</t>
  </si>
  <si>
    <t>Huevos</t>
  </si>
  <si>
    <t>Especias</t>
  </si>
  <si>
    <t>1 Kg</t>
  </si>
  <si>
    <t>1 kg</t>
  </si>
  <si>
    <t>1 litro</t>
  </si>
  <si>
    <t>12 unds</t>
  </si>
  <si>
    <t>Precio Compra</t>
  </si>
  <si>
    <t>P. Por Porcion</t>
  </si>
  <si>
    <t>Und Med</t>
  </si>
  <si>
    <t>Gr</t>
  </si>
  <si>
    <t>ml</t>
  </si>
  <si>
    <t>und</t>
  </si>
  <si>
    <t>COSTES TOTALES DEL RESTAURANTE POR 1 MES</t>
  </si>
  <si>
    <t>DESCRIPCIÓN</t>
  </si>
  <si>
    <t>Alquiler de Local</t>
  </si>
  <si>
    <t>Personal /Empleados</t>
  </si>
  <si>
    <t xml:space="preserve">Servicios Agua </t>
  </si>
  <si>
    <t>Servicio Luz</t>
  </si>
  <si>
    <t>Impuestos</t>
  </si>
  <si>
    <t>Otros</t>
  </si>
  <si>
    <t>COSTE POR DIA</t>
  </si>
  <si>
    <t>DÍAS DE TRABAJO</t>
  </si>
  <si>
    <t>Nº PROMEDIO DE PLATOS QUE SE PUEDEN VENDER CADA DÍA</t>
  </si>
  <si>
    <t>COSTO FINAL DEL PLATO</t>
  </si>
  <si>
    <t>COSTES DE RESTAURANTE</t>
  </si>
  <si>
    <t>COSTES DE PLATO</t>
  </si>
  <si>
    <t>COSTO TOTAL</t>
  </si>
  <si>
    <t>MARGEN DE UTILIDAD DESEADO</t>
  </si>
  <si>
    <t>MARGEN DESEADO</t>
  </si>
  <si>
    <t>PRECIO VENTA</t>
  </si>
  <si>
    <t>COSTE X MES</t>
  </si>
  <si>
    <t>Cantidad</t>
  </si>
  <si>
    <t>PRECIO</t>
  </si>
  <si>
    <t>X</t>
  </si>
  <si>
    <t>300x3,5 / 10000</t>
  </si>
  <si>
    <t>COSTES REST.</t>
  </si>
  <si>
    <t>P.V.P</t>
  </si>
  <si>
    <t>IMPUESTO G .A LA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</si>
</sst>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\ &quot;€&quot;"/>
  </numFmts>
  <fonts count="9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5" fontId="0" fillId="0" borderId="1" xfId="0" applyNumberFormat="1" applyBorder="1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9" fontId="0" fillId="0" borderId="0" xfId="0" applyNumberFormat="1"/>
    <xf numFmtId="164" fontId="0" fillId="0" borderId="0" xfId="0" applyNumberFormat="1"/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130256</xdr:colOff>
      <xdr:row>2</xdr:row>
      <xdr:rowOff>76524</xdr:rowOff>
    </xdr:from>
    <xdr:to>
      <xdr:col>9</xdr:col>
      <xdr:colOff>500835</xdr:colOff>
      <xdr:row>10</xdr:row>
      <xdr:rowOff>106176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37AFD4-921C-BD43-BB8D-EA3D4BA20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2884" y="581268"/>
          <a:ext cx="2951284" cy="1657857"/>
        </a:xfrm>
        <a:prstGeom prst="rect">
          <a:avLst/>
        </a:prstGeom>
      </xdr:spPr>
    </xdr:pic>
    <xdr:clientData/>
  </xdr:twoCellAnchor>
  <xdr:twoCellAnchor>
    <xdr:from>
      <xdr:col>10</xdr:col>
      <xdr:colOff>675705</xdr:colOff>
      <xdr:row>2</xdr:row>
      <xdr:rowOff>122115</xdr:rowOff>
    </xdr:from>
    <xdr:to>
      <xdr:col>11</xdr:col>
      <xdr:colOff>219807</xdr:colOff>
      <xdr:row>3</xdr:row>
      <xdr:rowOff>113975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BE3A07B-B121-6F42-B3DF-F4828728773E}"/>
            </a:ext>
          </a:extLst>
        </xdr:cNvPr>
        <xdr:cNvCxnSpPr/>
      </xdr:nvCxnSpPr>
      <xdr:spPr>
        <a:xfrm flipV="1">
          <a:off x="10811282" y="626859"/>
          <a:ext cx="366346" cy="1953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1D18-949C-C641-B3A5-4116E8A8AF42}">
  <dimension ref="A1:N39"/>
  <sheetViews>
    <sheetView showGridLines="0" tabSelected="1" topLeftCell="A7" zoomScale="174" workbookViewId="0">
      <selection activeCell="D21" sqref="D21"/>
    </sheetView>
  </sheetViews>
  <sheetFormatPr baseColWidth="10" defaultRowHeight="16" x14ac:dyDescent="0.2"/>
  <cols>
    <col min="1" max="1" width="19.1640625" customWidth="1"/>
    <col min="4" max="4" width="17.33203125" bestFit="1" customWidth="1"/>
    <col min="5" max="5" width="16.33203125" customWidth="1"/>
    <col min="6" max="6" width="14" customWidth="1"/>
    <col min="8" max="8" width="12.33203125" customWidth="1"/>
    <col min="14" max="14" width="15.1640625" customWidth="1"/>
  </cols>
  <sheetData>
    <row r="1" spans="1:14" ht="24" x14ac:dyDescent="0.3">
      <c r="A1" s="22" t="s">
        <v>0</v>
      </c>
    </row>
    <row r="2" spans="1:14" x14ac:dyDescent="0.2">
      <c r="K2" s="3" t="s">
        <v>2</v>
      </c>
      <c r="L2" s="3" t="s">
        <v>41</v>
      </c>
    </row>
    <row r="3" spans="1:14" x14ac:dyDescent="0.2">
      <c r="A3" s="1" t="s">
        <v>1</v>
      </c>
      <c r="B3" s="1" t="s">
        <v>40</v>
      </c>
      <c r="C3" s="1" t="s">
        <v>17</v>
      </c>
      <c r="D3" s="1" t="s">
        <v>3</v>
      </c>
      <c r="E3" s="1" t="s">
        <v>15</v>
      </c>
      <c r="F3" s="1" t="s">
        <v>16</v>
      </c>
      <c r="K3" s="3">
        <v>1000</v>
      </c>
      <c r="L3" s="3">
        <v>3.5</v>
      </c>
      <c r="N3" t="s">
        <v>43</v>
      </c>
    </row>
    <row r="4" spans="1:14" x14ac:dyDescent="0.2">
      <c r="A4" s="3" t="s">
        <v>6</v>
      </c>
      <c r="B4" s="3">
        <v>300</v>
      </c>
      <c r="C4" s="3" t="s">
        <v>18</v>
      </c>
      <c r="D4" s="3" t="s">
        <v>11</v>
      </c>
      <c r="E4" s="4">
        <v>3.5</v>
      </c>
      <c r="F4" s="3">
        <f>B4*E4/1000</f>
        <v>1.05</v>
      </c>
      <c r="K4" s="3">
        <v>300</v>
      </c>
      <c r="L4" s="3" t="s">
        <v>42</v>
      </c>
    </row>
    <row r="5" spans="1:14" x14ac:dyDescent="0.2">
      <c r="A5" s="3" t="s">
        <v>5</v>
      </c>
      <c r="B5" s="3">
        <v>150</v>
      </c>
      <c r="C5" s="3" t="s">
        <v>18</v>
      </c>
      <c r="D5" s="3" t="s">
        <v>12</v>
      </c>
      <c r="E5" s="4">
        <v>1.5</v>
      </c>
      <c r="F5" s="3">
        <f>B5*E5/1000</f>
        <v>0.22500000000000001</v>
      </c>
    </row>
    <row r="6" spans="1:14" x14ac:dyDescent="0.2">
      <c r="A6" s="3" t="s">
        <v>7</v>
      </c>
      <c r="B6" s="3">
        <v>300</v>
      </c>
      <c r="C6" s="3" t="s">
        <v>18</v>
      </c>
      <c r="D6" s="3" t="s">
        <v>12</v>
      </c>
      <c r="E6" s="4">
        <v>1.2</v>
      </c>
      <c r="F6" s="3">
        <f>B6*E6/1000</f>
        <v>0.36</v>
      </c>
    </row>
    <row r="7" spans="1:14" x14ac:dyDescent="0.2">
      <c r="A7" s="3" t="s">
        <v>8</v>
      </c>
      <c r="B7" s="3">
        <v>250</v>
      </c>
      <c r="C7" s="3" t="s">
        <v>19</v>
      </c>
      <c r="D7" s="3" t="s">
        <v>13</v>
      </c>
      <c r="E7" s="4">
        <v>3.8</v>
      </c>
      <c r="F7" s="3">
        <f>B7*E7/1000</f>
        <v>0.95</v>
      </c>
    </row>
    <row r="8" spans="1:14" x14ac:dyDescent="0.2">
      <c r="A8" s="3" t="s">
        <v>9</v>
      </c>
      <c r="B8" s="3">
        <v>2</v>
      </c>
      <c r="C8" s="3" t="s">
        <v>20</v>
      </c>
      <c r="D8" s="3" t="s">
        <v>14</v>
      </c>
      <c r="E8" s="4">
        <v>1.2</v>
      </c>
      <c r="F8" s="3">
        <f>B8*E8/12</f>
        <v>0.19999999999999998</v>
      </c>
    </row>
    <row r="9" spans="1:14" x14ac:dyDescent="0.2">
      <c r="A9" s="3" t="s">
        <v>10</v>
      </c>
      <c r="B9" s="3">
        <v>10</v>
      </c>
      <c r="C9" s="3" t="s">
        <v>18</v>
      </c>
      <c r="D9" s="3" t="s">
        <v>12</v>
      </c>
      <c r="E9" s="4">
        <v>2.4</v>
      </c>
      <c r="F9" s="3">
        <f>B9*E9/1000</f>
        <v>2.4E-2</v>
      </c>
    </row>
    <row r="10" spans="1:14" x14ac:dyDescent="0.2">
      <c r="A10" s="3"/>
      <c r="B10" s="3"/>
      <c r="C10" s="3"/>
      <c r="D10" s="3"/>
      <c r="E10" s="4"/>
      <c r="F10" s="3"/>
    </row>
    <row r="11" spans="1:14" x14ac:dyDescent="0.2">
      <c r="A11" s="3"/>
      <c r="B11" s="3"/>
      <c r="C11" s="3"/>
      <c r="D11" s="3"/>
      <c r="E11" s="4"/>
      <c r="F11" s="3"/>
    </row>
    <row r="12" spans="1:14" x14ac:dyDescent="0.2">
      <c r="A12" s="3"/>
      <c r="B12" s="3"/>
      <c r="C12" s="3"/>
      <c r="D12" s="3"/>
      <c r="E12" s="4"/>
      <c r="F12" s="3"/>
    </row>
    <row r="13" spans="1:14" ht="17" thickBot="1" x14ac:dyDescent="0.25">
      <c r="A13" s="3"/>
      <c r="B13" s="3"/>
      <c r="C13" s="3"/>
      <c r="D13" s="3"/>
      <c r="E13" s="5"/>
      <c r="F13" s="7"/>
    </row>
    <row r="14" spans="1:14" ht="20" thickBot="1" x14ac:dyDescent="0.3">
      <c r="E14" s="6" t="s">
        <v>4</v>
      </c>
      <c r="F14" s="8">
        <f>SUM(F4:F13)</f>
        <v>2.8090000000000002</v>
      </c>
    </row>
    <row r="16" spans="1:14" ht="21" x14ac:dyDescent="0.25">
      <c r="A16" s="21" t="s">
        <v>21</v>
      </c>
    </row>
    <row r="19" spans="1:9" x14ac:dyDescent="0.2">
      <c r="A19" s="1" t="s">
        <v>22</v>
      </c>
      <c r="B19" s="24" t="s">
        <v>39</v>
      </c>
      <c r="E19" s="1" t="s">
        <v>30</v>
      </c>
      <c r="F19" s="1" t="s">
        <v>29</v>
      </c>
    </row>
    <row r="20" spans="1:9" x14ac:dyDescent="0.2">
      <c r="A20" s="2" t="s">
        <v>23</v>
      </c>
      <c r="B20" s="3">
        <v>2500</v>
      </c>
      <c r="E20" s="3">
        <v>30</v>
      </c>
      <c r="F20" s="13">
        <f>B26/E20</f>
        <v>255.66666666666666</v>
      </c>
    </row>
    <row r="21" spans="1:9" x14ac:dyDescent="0.2">
      <c r="A21" s="2" t="s">
        <v>24</v>
      </c>
      <c r="B21" s="3">
        <v>4500</v>
      </c>
    </row>
    <row r="22" spans="1:9" x14ac:dyDescent="0.2">
      <c r="A22" s="2" t="s">
        <v>25</v>
      </c>
      <c r="B22" s="3">
        <v>120</v>
      </c>
    </row>
    <row r="23" spans="1:9" x14ac:dyDescent="0.2">
      <c r="A23" s="2" t="s">
        <v>26</v>
      </c>
      <c r="B23" s="3">
        <v>150</v>
      </c>
      <c r="E23" s="14" t="s">
        <v>31</v>
      </c>
      <c r="F23" s="1"/>
      <c r="G23" s="1"/>
      <c r="H23" s="1"/>
      <c r="I23" s="16">
        <v>150</v>
      </c>
    </row>
    <row r="24" spans="1:9" x14ac:dyDescent="0.2">
      <c r="A24" s="2" t="s">
        <v>27</v>
      </c>
      <c r="B24" s="3">
        <v>250</v>
      </c>
    </row>
    <row r="25" spans="1:9" x14ac:dyDescent="0.2">
      <c r="A25" s="2" t="s">
        <v>28</v>
      </c>
      <c r="B25" s="3">
        <v>150</v>
      </c>
      <c r="E25" s="14" t="s">
        <v>44</v>
      </c>
      <c r="F25" s="12">
        <f>F20/I23</f>
        <v>1.7044444444444444</v>
      </c>
    </row>
    <row r="26" spans="1:9" x14ac:dyDescent="0.2">
      <c r="A26" s="9" t="s">
        <v>4</v>
      </c>
      <c r="B26" s="12">
        <f>SUM(B20:B25)</f>
        <v>7670</v>
      </c>
    </row>
    <row r="29" spans="1:9" ht="19" x14ac:dyDescent="0.25">
      <c r="A29" s="23" t="s">
        <v>32</v>
      </c>
      <c r="E29" s="23" t="s">
        <v>36</v>
      </c>
    </row>
    <row r="31" spans="1:9" x14ac:dyDescent="0.2">
      <c r="A31" s="2" t="s">
        <v>34</v>
      </c>
      <c r="B31" s="17">
        <f>F14</f>
        <v>2.8090000000000002</v>
      </c>
      <c r="E31" s="3" t="s">
        <v>35</v>
      </c>
      <c r="F31" s="19">
        <f>B33</f>
        <v>4.5134444444444446</v>
      </c>
    </row>
    <row r="32" spans="1:9" x14ac:dyDescent="0.2">
      <c r="A32" s="2" t="s">
        <v>33</v>
      </c>
      <c r="B32" s="15">
        <f>F25</f>
        <v>1.7044444444444444</v>
      </c>
      <c r="E32" s="3" t="s">
        <v>37</v>
      </c>
      <c r="F32" s="20">
        <v>0.1</v>
      </c>
    </row>
    <row r="33" spans="1:6" x14ac:dyDescent="0.2">
      <c r="A33" s="9" t="s">
        <v>35</v>
      </c>
      <c r="B33" s="18">
        <f>SUM(B31:B32)</f>
        <v>4.5134444444444446</v>
      </c>
      <c r="E33" s="10" t="s">
        <v>38</v>
      </c>
      <c r="F33" s="11">
        <f>F31*(1+F32)</f>
        <v>4.9647888888888891</v>
      </c>
    </row>
    <row r="37" spans="1:6" x14ac:dyDescent="0.2">
      <c r="E37" s="25"/>
    </row>
    <row r="38" spans="1:6" x14ac:dyDescent="0.2">
      <c r="E38" s="28" t="s">
        <v>46</v>
      </c>
      <c r="F38" s="26">
        <v>0.15</v>
      </c>
    </row>
    <row r="39" spans="1:6" x14ac:dyDescent="0.2">
      <c r="E39" t="s">
        <v>45</v>
      </c>
      <c r="F39" s="27">
        <f>F33*1.15</f>
        <v>5.7095072222222223</v>
      </c>
    </row>
  </sheetData>
  <pageMargins left="0.7" right="0.7" top="0.75" bottom="0.75" header="0.3" footer="0.3"/>
  <ignoredErrors>
    <ignoredError sqref="F8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Anderson Ayre Barrientos</dc:creator>
  <cp:lastModifiedBy>Diego Anderson Ayre Barrientos</cp:lastModifiedBy>
  <dcterms:created xsi:type="dcterms:W3CDTF">2018-08-31T11:47:13Z</dcterms:created>
  <dcterms:modified xsi:type="dcterms:W3CDTF">2018-11-13T10:53:46Z</dcterms:modified>
</cp:coreProperties>
</file>